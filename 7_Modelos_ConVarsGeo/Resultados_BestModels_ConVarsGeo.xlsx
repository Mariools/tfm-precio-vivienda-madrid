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omartin/Documents/Mario Personal/Mario Personal/Master VIU - Big Data y Data Science/TFM/DESARROLLO/TFM - Proyecto - CODIGO/Modelos ConVarsGeo/"/>
    </mc:Choice>
  </mc:AlternateContent>
  <xr:revisionPtr revIDLastSave="0" documentId="13_ncr:1_{36D2DF1B-1687-EA4D-83FE-820041A522A1}" xr6:coauthVersionLast="47" xr6:coauthVersionMax="47" xr10:uidLastSave="{00000000-0000-0000-0000-000000000000}"/>
  <bookViews>
    <workbookView xWindow="6120" yWindow="3880" windowWidth="29920" windowHeight="16920" xr2:uid="{F78678C9-A7EA-CA4F-B1BF-B4C16B7CB2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F17" i="1"/>
  <c r="E17" i="1"/>
  <c r="D17" i="1"/>
</calcChain>
</file>

<file path=xl/sharedStrings.xml><?xml version="1.0" encoding="utf-8"?>
<sst xmlns="http://schemas.openxmlformats.org/spreadsheetml/2006/main" count="36" uniqueCount="33">
  <si>
    <t>R2</t>
  </si>
  <si>
    <t>MAPE (%)</t>
  </si>
  <si>
    <t>MAE (€)</t>
  </si>
  <si>
    <t>RMSE (€)</t>
  </si>
  <si>
    <t>Regresión Polinómica</t>
  </si>
  <si>
    <t>Ridge</t>
  </si>
  <si>
    <t>Lasso</t>
  </si>
  <si>
    <t>Modelo</t>
  </si>
  <si>
    <t>KNN</t>
  </si>
  <si>
    <t>Árbol de decisión</t>
  </si>
  <si>
    <t>Random Forest</t>
  </si>
  <si>
    <t>Bagging Regressor</t>
  </si>
  <si>
    <t>Extra Trees</t>
  </si>
  <si>
    <t>AdaBoost</t>
  </si>
  <si>
    <t>Gradient Boosting</t>
  </si>
  <si>
    <t>XGBoost</t>
  </si>
  <si>
    <t>Regresión Lineal</t>
  </si>
  <si>
    <t>-</t>
  </si>
  <si>
    <t>{grado=3}</t>
  </si>
  <si>
    <t>Parámetros Mejor Modelo</t>
  </si>
  <si>
    <t>{'max_depth': None, 'max_features': 'sqrt', 'min_samples_leaf': 1, 'n_estimators': 300}</t>
  </si>
  <si>
    <t>{'learning_rate': 0.05, 'loss': 'exponential', 'n_estimators': 300}</t>
  </si>
  <si>
    <t>{'learning_rate': 0.1, 'max_depth': 4, 'min_samples_leaf': 1, 'n_estimators': 300, 'subsample': 0.8}</t>
  </si>
  <si>
    <t>{'subsample': 1.0, 'n_estimators': 500, 'min_child_weight': 5, 'max_depth': 8, 'learning_rate': 0.03, 'gamma': 0, 'colsample_bytree': 0.6}</t>
  </si>
  <si>
    <t>{'subsample': 0.8, 'num_leaves': 70, 'n_estimators': 300, 'min_child_samples': 10, 'max_depth': -1, 'learning_rate': 0.05, 'colsample_bytree': 0.6}</t>
  </si>
  <si>
    <t>Stacking</t>
  </si>
  <si>
    <t>Mejores Modelos: Extra Trees, XGB, LGBM y KNN</t>
  </si>
  <si>
    <t>PROMEDIO</t>
  </si>
  <si>
    <t>{'metric': 'minkowski', 'n_neighbors': 9, 'p': 1, 'weights': 'distance'}</t>
  </si>
  <si>
    <t>{'max_depth': 13, 'max_features': None, 'min_samples_leaf': 10, 'min_samples_split': 2}</t>
  </si>
  <si>
    <t>{'max_features': 0.8, 'max_samples': 1, 'n_estimators': 300}</t>
  </si>
  <si>
    <t>{'max_depth': None, 'max_features': 1, 'min_samples_leaf': 1, 'n_estimators': 300}</t>
  </si>
  <si>
    <t>LightGBM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</si>
</sst>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93723-9053-A942-8352-2143EC51C795}">
  <dimension ref="B1:G17"/>
  <sheetViews>
    <sheetView tabSelected="1" zoomScale="89" zoomScaleNormal="89" workbookViewId="0">
      <selection activeCell="K10" sqref="K10"/>
    </sheetView>
  </sheetViews>
  <sheetFormatPr baseColWidth="10" defaultRowHeight="16" x14ac:dyDescent="0.2"/>
  <cols>
    <col min="1" max="1" width="10.83203125" style="1"/>
    <col min="2" max="2" width="18.83203125" style="1" bestFit="1" customWidth="1"/>
    <col min="3" max="3" width="12.83203125" style="1" customWidth="1"/>
    <col min="4" max="4" width="12.33203125" style="1" customWidth="1"/>
    <col min="5" max="6" width="10.83203125" style="1"/>
    <col min="7" max="7" width="52.5" style="1" customWidth="1"/>
    <col min="8" max="16384" width="10.83203125" style="1"/>
  </cols>
  <sheetData>
    <row r="1" spans="2:7" ht="17" thickBot="1" x14ac:dyDescent="0.25"/>
    <row r="2" spans="2:7" ht="17" thickBot="1" x14ac:dyDescent="0.25">
      <c r="B2" s="13" t="s">
        <v>7</v>
      </c>
      <c r="C2" s="4" t="s">
        <v>2</v>
      </c>
      <c r="D2" s="4" t="s">
        <v>3</v>
      </c>
      <c r="E2" s="4" t="s">
        <v>0</v>
      </c>
      <c r="F2" s="4" t="s">
        <v>1</v>
      </c>
      <c r="G2" s="5" t="s">
        <v>19</v>
      </c>
    </row>
    <row r="3" spans="2:7" x14ac:dyDescent="0.2">
      <c r="B3" s="14" t="s">
        <v>16</v>
      </c>
      <c r="C3" s="15">
        <v>299026</v>
      </c>
      <c r="D3" s="15">
        <v>462147</v>
      </c>
      <c r="E3" s="15">
        <v>0.7</v>
      </c>
      <c r="F3" s="15">
        <v>56.5</v>
      </c>
      <c r="G3" s="16" t="s">
        <v>17</v>
      </c>
    </row>
    <row r="4" spans="2:7" x14ac:dyDescent="0.2">
      <c r="B4" s="17" t="s">
        <v>4</v>
      </c>
      <c r="C4" s="6">
        <v>210136</v>
      </c>
      <c r="D4" s="6">
        <v>358324</v>
      </c>
      <c r="E4" s="6">
        <v>0.82</v>
      </c>
      <c r="F4" s="6">
        <v>35.18</v>
      </c>
      <c r="G4" s="7" t="s">
        <v>18</v>
      </c>
    </row>
    <row r="5" spans="2:7" x14ac:dyDescent="0.2">
      <c r="B5" s="18" t="s">
        <v>5</v>
      </c>
      <c r="C5" s="2">
        <v>299014</v>
      </c>
      <c r="D5" s="2">
        <v>462144</v>
      </c>
      <c r="E5" s="2">
        <v>0.7</v>
      </c>
      <c r="F5" s="2">
        <v>56.49</v>
      </c>
      <c r="G5" s="3" t="s">
        <v>17</v>
      </c>
    </row>
    <row r="6" spans="2:7" x14ac:dyDescent="0.2">
      <c r="B6" s="17" t="s">
        <v>6</v>
      </c>
      <c r="C6" s="6">
        <v>299026</v>
      </c>
      <c r="D6" s="6">
        <v>462147</v>
      </c>
      <c r="E6" s="6">
        <v>0.7</v>
      </c>
      <c r="F6" s="6">
        <v>56.5</v>
      </c>
      <c r="G6" s="7" t="s">
        <v>17</v>
      </c>
    </row>
    <row r="7" spans="2:7" ht="34" x14ac:dyDescent="0.2">
      <c r="B7" s="18" t="s">
        <v>8</v>
      </c>
      <c r="C7" s="2">
        <v>180436</v>
      </c>
      <c r="D7" s="2">
        <v>348863</v>
      </c>
      <c r="E7" s="2">
        <v>0.83</v>
      </c>
      <c r="F7" s="2">
        <v>25.27</v>
      </c>
      <c r="G7" s="8" t="s">
        <v>28</v>
      </c>
    </row>
    <row r="8" spans="2:7" ht="34" x14ac:dyDescent="0.2">
      <c r="B8" s="17" t="s">
        <v>9</v>
      </c>
      <c r="C8" s="6">
        <v>208694</v>
      </c>
      <c r="D8" s="6">
        <v>375147</v>
      </c>
      <c r="E8" s="6">
        <v>0.8</v>
      </c>
      <c r="F8" s="6">
        <v>31.56</v>
      </c>
      <c r="G8" s="9" t="s">
        <v>29</v>
      </c>
    </row>
    <row r="9" spans="2:7" ht="34" x14ac:dyDescent="0.2">
      <c r="B9" s="18" t="s">
        <v>10</v>
      </c>
      <c r="C9" s="2">
        <v>155965</v>
      </c>
      <c r="D9" s="2">
        <v>313500</v>
      </c>
      <c r="E9" s="2">
        <v>0.86099999999999999</v>
      </c>
      <c r="F9" s="2">
        <v>21.11</v>
      </c>
      <c r="G9" s="8" t="s">
        <v>20</v>
      </c>
    </row>
    <row r="10" spans="2:7" x14ac:dyDescent="0.2">
      <c r="B10" s="17" t="s">
        <v>11</v>
      </c>
      <c r="C10" s="6">
        <v>154314</v>
      </c>
      <c r="D10" s="6">
        <v>311032</v>
      </c>
      <c r="E10" s="6">
        <v>0.86299999999999999</v>
      </c>
      <c r="F10" s="6">
        <v>20.94</v>
      </c>
      <c r="G10" s="7" t="s">
        <v>30</v>
      </c>
    </row>
    <row r="11" spans="2:7" ht="34" x14ac:dyDescent="0.2">
      <c r="B11" s="18" t="s">
        <v>12</v>
      </c>
      <c r="C11" s="2">
        <v>151620</v>
      </c>
      <c r="D11" s="2">
        <v>303002</v>
      </c>
      <c r="E11" s="2">
        <v>0.87</v>
      </c>
      <c r="F11" s="2">
        <v>21.05</v>
      </c>
      <c r="G11" s="8" t="s">
        <v>31</v>
      </c>
    </row>
    <row r="12" spans="2:7" x14ac:dyDescent="0.2">
      <c r="B12" s="17" t="s">
        <v>13</v>
      </c>
      <c r="C12" s="6">
        <v>264706</v>
      </c>
      <c r="D12" s="6">
        <v>497034</v>
      </c>
      <c r="E12" s="6">
        <v>0.64900000000000002</v>
      </c>
      <c r="F12" s="6">
        <v>35.479999999999997</v>
      </c>
      <c r="G12" s="7" t="s">
        <v>21</v>
      </c>
    </row>
    <row r="13" spans="2:7" ht="34" x14ac:dyDescent="0.2">
      <c r="B13" s="18" t="s">
        <v>14</v>
      </c>
      <c r="C13" s="2">
        <v>168032</v>
      </c>
      <c r="D13" s="2">
        <v>317758</v>
      </c>
      <c r="E13" s="2">
        <v>0.85699999999999998</v>
      </c>
      <c r="F13" s="2">
        <v>22.37</v>
      </c>
      <c r="G13" s="8" t="s">
        <v>22</v>
      </c>
    </row>
    <row r="14" spans="2:7" ht="51" x14ac:dyDescent="0.2">
      <c r="B14" s="17" t="s">
        <v>15</v>
      </c>
      <c r="C14" s="6">
        <v>153038</v>
      </c>
      <c r="D14" s="6">
        <v>300364</v>
      </c>
      <c r="E14" s="6">
        <v>0.872</v>
      </c>
      <c r="F14" s="6">
        <v>20.49</v>
      </c>
      <c r="G14" s="9" t="s">
        <v>23</v>
      </c>
    </row>
    <row r="15" spans="2:7" ht="51" x14ac:dyDescent="0.2">
      <c r="B15" s="18" t="s">
        <v>32</v>
      </c>
      <c r="C15" s="2">
        <v>156112</v>
      </c>
      <c r="D15" s="2">
        <v>301514</v>
      </c>
      <c r="E15" s="2">
        <v>0.871</v>
      </c>
      <c r="F15" s="2">
        <v>21.03</v>
      </c>
      <c r="G15" s="8" t="s">
        <v>24</v>
      </c>
    </row>
    <row r="16" spans="2:7" ht="18" thickBot="1" x14ac:dyDescent="0.25">
      <c r="B16" s="10" t="s">
        <v>25</v>
      </c>
      <c r="C16" s="11">
        <v>150169</v>
      </c>
      <c r="D16" s="11">
        <v>293486</v>
      </c>
      <c r="E16" s="11">
        <v>0.878</v>
      </c>
      <c r="F16" s="11">
        <v>20.21</v>
      </c>
      <c r="G16" s="12" t="s">
        <v>26</v>
      </c>
    </row>
    <row r="17" spans="2:7" ht="17" thickBot="1" x14ac:dyDescent="0.25">
      <c r="B17" s="19" t="s">
        <v>27</v>
      </c>
      <c r="C17" s="20">
        <f>ROUND(AVERAGE(C3:C16),0)</f>
        <v>203592</v>
      </c>
      <c r="D17" s="20">
        <f t="shared" ref="D17" si="0">ROUND(AVERAGE(D3:D16),0)</f>
        <v>364747</v>
      </c>
      <c r="E17" s="20">
        <f>ROUND(AVERAGE(E3:E16),3)</f>
        <v>0.80500000000000005</v>
      </c>
      <c r="F17" s="20">
        <f>ROUND(AVERAGE(F3:F16),2)</f>
        <v>31.73</v>
      </c>
      <c r="G17" s="2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Martín</dc:creator>
  <cp:lastModifiedBy>Mario Martín</cp:lastModifiedBy>
  <dcterms:created xsi:type="dcterms:W3CDTF">2026-04-20T14:28:55Z</dcterms:created>
  <dcterms:modified xsi:type="dcterms:W3CDTF">2026-05-11T15:09:04Z</dcterms:modified>
</cp:coreProperties>
</file>