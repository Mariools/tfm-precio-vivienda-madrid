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omartin/Documents/Mario Personal/Mario Personal/Master VIU - Big Data y Data Science/TFM/DESARROLLO/TFM - Proyecto - CODIGO/Modelos SinVarsGeo/"/>
    </mc:Choice>
  </mc:AlternateContent>
  <xr:revisionPtr revIDLastSave="0" documentId="13_ncr:1_{8502FF3E-A14D-3A4B-9232-1FC5309BF4A2}" xr6:coauthVersionLast="47" xr6:coauthVersionMax="47" xr10:uidLastSave="{00000000-0000-0000-0000-000000000000}"/>
  <bookViews>
    <workbookView xWindow="-33740" yWindow="-10200" windowWidth="28040" windowHeight="17160" xr2:uid="{F78678C9-A7EA-CA4F-B1BF-B4C16B7CB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D17" i="1"/>
  <c r="C17" i="1"/>
</calcChain>
</file>

<file path=xl/sharedStrings.xml><?xml version="1.0" encoding="utf-8"?>
<sst xmlns="http://schemas.openxmlformats.org/spreadsheetml/2006/main" count="36" uniqueCount="33">
  <si>
    <t>R2</t>
  </si>
  <si>
    <t>MAPE (%)</t>
  </si>
  <si>
    <t>MAE (€)</t>
  </si>
  <si>
    <t>RMSE (€)</t>
  </si>
  <si>
    <t>Regresión Polinómica</t>
  </si>
  <si>
    <t>Ridge</t>
  </si>
  <si>
    <t>Lasso</t>
  </si>
  <si>
    <t>Modelo</t>
  </si>
  <si>
    <t>KNN</t>
  </si>
  <si>
    <t>Árbol de decisión</t>
  </si>
  <si>
    <t>Random Forest</t>
  </si>
  <si>
    <t>Bagging Regressor</t>
  </si>
  <si>
    <t>Extra Trees</t>
  </si>
  <si>
    <t>AdaBoost</t>
  </si>
  <si>
    <t>Gradient Boosting</t>
  </si>
  <si>
    <t>XGBoost</t>
  </si>
  <si>
    <t>Regresión Lineal</t>
  </si>
  <si>
    <t>-</t>
  </si>
  <si>
    <t>{grado=3}</t>
  </si>
  <si>
    <t>Parámetros Mejor Modelo</t>
  </si>
  <si>
    <t>{'metric': 'minkowski', 'n_neighbors': 15, 'p': 1, 'weights': 'distance'}</t>
  </si>
  <si>
    <t>{'max_depth': 11, 'max_features': None, 'min_samples_leaf': 10, 'min_samples_split': 2}</t>
  </si>
  <si>
    <t>{'max_depth': None, 'max_features': 'log2', 'min_samples_leaf': 1, 'n_estimators': 300}</t>
  </si>
  <si>
    <t>{'max_features': 1.0, 'max_samples': 0.6, 'n_estimators': 300}</t>
  </si>
  <si>
    <t>{'max_depth': 20, 'max_features': 1.0, 'min_samples_leaf': 2, 'n_estimators': 300}</t>
  </si>
  <si>
    <t>{'learning_rate': 0.1, 'loss': 'exponential', 'n_estimators': 100}</t>
  </si>
  <si>
    <t>{'learning_rate': 0.1, 'max_depth': 4, 'min_samples_leaf': 2, 'n_estimators': 300, 'subsample': 0.8}</t>
  </si>
  <si>
    <t>{'subsample': 1.0, 'n_estimators': 200, 'min_child_weight': 5, 'max_depth': 8, 'learning_rate': 0.03, 'gamma': 0, 'colsample_bytree': 0.8}</t>
  </si>
  <si>
    <t>{'subsample': 1.0, 'num_leaves': 50, 'n_estimators': 400, 'min_child_samples': 10, 'max_depth': -1, 'learning_rate': 0.05, 'colsample_bytree': 0.8}</t>
  </si>
  <si>
    <t>Stacking</t>
  </si>
  <si>
    <t>Mejores Modelos: Bagging Regressor, XGB, LGBM y KNN</t>
  </si>
  <si>
    <t>PROMEDIO</t>
  </si>
  <si>
    <t>LightGBM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</si>
</sst>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3723-9053-A942-8352-2143EC51C795}">
  <dimension ref="B1:G17"/>
  <sheetViews>
    <sheetView tabSelected="1" workbookViewId="0">
      <selection activeCell="B2" sqref="B2:G17"/>
    </sheetView>
  </sheetViews>
  <sheetFormatPr baseColWidth="10" defaultRowHeight="16" x14ac:dyDescent="0.2"/>
  <cols>
    <col min="1" max="1" width="10.83203125" style="1"/>
    <col min="2" max="2" width="18.83203125" style="1" bestFit="1" customWidth="1"/>
    <col min="3" max="3" width="12.83203125" style="1" customWidth="1"/>
    <col min="4" max="4" width="12.33203125" style="1" customWidth="1"/>
    <col min="5" max="6" width="10.83203125" style="1"/>
    <col min="7" max="7" width="51.6640625" style="1" customWidth="1"/>
    <col min="8" max="16384" width="10.83203125" style="1"/>
  </cols>
  <sheetData>
    <row r="1" spans="2:7" ht="17" thickBot="1" x14ac:dyDescent="0.25"/>
    <row r="2" spans="2:7" ht="17" thickBot="1" x14ac:dyDescent="0.25">
      <c r="B2" s="16" t="s">
        <v>7</v>
      </c>
      <c r="C2" s="6" t="s">
        <v>2</v>
      </c>
      <c r="D2" s="7" t="s">
        <v>3</v>
      </c>
      <c r="E2" s="7" t="s">
        <v>0</v>
      </c>
      <c r="F2" s="7" t="s">
        <v>1</v>
      </c>
      <c r="G2" s="8" t="s">
        <v>19</v>
      </c>
    </row>
    <row r="3" spans="2:7" x14ac:dyDescent="0.2">
      <c r="B3" s="15" t="s">
        <v>16</v>
      </c>
      <c r="C3" s="4">
        <v>363025</v>
      </c>
      <c r="D3" s="4">
        <v>549136</v>
      </c>
      <c r="E3" s="4">
        <v>0.59599999999999997</v>
      </c>
      <c r="F3" s="4">
        <v>60.64</v>
      </c>
      <c r="G3" s="5" t="s">
        <v>17</v>
      </c>
    </row>
    <row r="4" spans="2:7" x14ac:dyDescent="0.2">
      <c r="B4" s="14" t="s">
        <v>4</v>
      </c>
      <c r="C4" s="9">
        <v>280817</v>
      </c>
      <c r="D4" s="9">
        <v>445653</v>
      </c>
      <c r="E4" s="9">
        <v>0.74</v>
      </c>
      <c r="F4" s="9">
        <v>46.75</v>
      </c>
      <c r="G4" s="10" t="s">
        <v>18</v>
      </c>
    </row>
    <row r="5" spans="2:7" x14ac:dyDescent="0.2">
      <c r="B5" s="13" t="s">
        <v>5</v>
      </c>
      <c r="C5" s="2">
        <v>363011</v>
      </c>
      <c r="D5" s="2">
        <v>549139</v>
      </c>
      <c r="E5" s="2">
        <v>0.6</v>
      </c>
      <c r="F5" s="2">
        <v>68.63</v>
      </c>
      <c r="G5" s="3" t="s">
        <v>17</v>
      </c>
    </row>
    <row r="6" spans="2:7" x14ac:dyDescent="0.2">
      <c r="B6" s="14" t="s">
        <v>6</v>
      </c>
      <c r="C6" s="9">
        <v>363025</v>
      </c>
      <c r="D6" s="9">
        <v>549136</v>
      </c>
      <c r="E6" s="9">
        <v>0.6</v>
      </c>
      <c r="F6" s="9">
        <v>68.64</v>
      </c>
      <c r="G6" s="10" t="s">
        <v>17</v>
      </c>
    </row>
    <row r="7" spans="2:7" ht="34" x14ac:dyDescent="0.2">
      <c r="B7" s="13" t="s">
        <v>8</v>
      </c>
      <c r="C7" s="2">
        <v>256595</v>
      </c>
      <c r="D7" s="2">
        <v>434092</v>
      </c>
      <c r="E7" s="2">
        <v>0.75</v>
      </c>
      <c r="F7" s="2">
        <v>39.79</v>
      </c>
      <c r="G7" s="11" t="s">
        <v>20</v>
      </c>
    </row>
    <row r="8" spans="2:7" ht="34" x14ac:dyDescent="0.2">
      <c r="B8" s="14" t="s">
        <v>9</v>
      </c>
      <c r="C8" s="9">
        <v>268738</v>
      </c>
      <c r="D8" s="9">
        <v>446852</v>
      </c>
      <c r="E8" s="9">
        <v>0.74</v>
      </c>
      <c r="F8" s="9">
        <v>41.96</v>
      </c>
      <c r="G8" s="12" t="s">
        <v>21</v>
      </c>
    </row>
    <row r="9" spans="2:7" ht="34" x14ac:dyDescent="0.2">
      <c r="B9" s="13" t="s">
        <v>10</v>
      </c>
      <c r="C9" s="2">
        <v>237156</v>
      </c>
      <c r="D9" s="2">
        <v>424527</v>
      </c>
      <c r="E9" s="2">
        <v>0.76100000000000001</v>
      </c>
      <c r="F9" s="2">
        <v>32.76</v>
      </c>
      <c r="G9" s="11" t="s">
        <v>22</v>
      </c>
    </row>
    <row r="10" spans="2:7" x14ac:dyDescent="0.2">
      <c r="B10" s="14" t="s">
        <v>11</v>
      </c>
      <c r="C10" s="9">
        <v>234709</v>
      </c>
      <c r="D10" s="9">
        <v>414180</v>
      </c>
      <c r="E10" s="9">
        <v>0.77200000000000002</v>
      </c>
      <c r="F10" s="9">
        <v>33.17</v>
      </c>
      <c r="G10" s="10" t="s">
        <v>23</v>
      </c>
    </row>
    <row r="11" spans="2:7" ht="34" x14ac:dyDescent="0.2">
      <c r="B11" s="13" t="s">
        <v>12</v>
      </c>
      <c r="C11" s="2">
        <v>235301</v>
      </c>
      <c r="D11" s="2">
        <v>420087</v>
      </c>
      <c r="E11" s="2">
        <v>0.76600000000000001</v>
      </c>
      <c r="F11" s="2">
        <v>33.32</v>
      </c>
      <c r="G11" s="11" t="s">
        <v>24</v>
      </c>
    </row>
    <row r="12" spans="2:7" x14ac:dyDescent="0.2">
      <c r="B12" s="14" t="s">
        <v>13</v>
      </c>
      <c r="C12" s="9">
        <v>318852</v>
      </c>
      <c r="D12" s="9">
        <v>566408</v>
      </c>
      <c r="E12" s="9">
        <v>0.57399999999999995</v>
      </c>
      <c r="F12" s="9">
        <v>42.79</v>
      </c>
      <c r="G12" s="10" t="s">
        <v>25</v>
      </c>
    </row>
    <row r="13" spans="2:7" ht="34" x14ac:dyDescent="0.2">
      <c r="B13" s="13" t="s">
        <v>14</v>
      </c>
      <c r="C13" s="2">
        <v>248030</v>
      </c>
      <c r="D13" s="2">
        <v>429600</v>
      </c>
      <c r="E13" s="2">
        <v>0.755</v>
      </c>
      <c r="F13" s="2">
        <v>34.46</v>
      </c>
      <c r="G13" s="11" t="s">
        <v>26</v>
      </c>
    </row>
    <row r="14" spans="2:7" ht="51" x14ac:dyDescent="0.2">
      <c r="B14" s="14" t="s">
        <v>15</v>
      </c>
      <c r="C14" s="9">
        <v>238099</v>
      </c>
      <c r="D14" s="9">
        <v>416655</v>
      </c>
      <c r="E14" s="9">
        <v>0.77</v>
      </c>
      <c r="F14" s="9">
        <v>33.11</v>
      </c>
      <c r="G14" s="12" t="s">
        <v>27</v>
      </c>
    </row>
    <row r="15" spans="2:7" ht="51" x14ac:dyDescent="0.2">
      <c r="B15" s="13" t="s">
        <v>32</v>
      </c>
      <c r="C15" s="2">
        <v>239080</v>
      </c>
      <c r="D15" s="2">
        <v>416077</v>
      </c>
      <c r="E15" s="2">
        <v>0.77</v>
      </c>
      <c r="F15" s="2">
        <v>33.130000000000003</v>
      </c>
      <c r="G15" s="11" t="s">
        <v>28</v>
      </c>
    </row>
    <row r="16" spans="2:7" ht="18" thickBot="1" x14ac:dyDescent="0.25">
      <c r="B16" s="17" t="s">
        <v>29</v>
      </c>
      <c r="C16" s="18">
        <v>233936</v>
      </c>
      <c r="D16" s="18">
        <v>409370</v>
      </c>
      <c r="E16" s="18">
        <v>0.77800000000000002</v>
      </c>
      <c r="F16" s="18">
        <v>32.549999999999997</v>
      </c>
      <c r="G16" s="19" t="s">
        <v>30</v>
      </c>
    </row>
    <row r="17" spans="2:7" ht="17" thickBot="1" x14ac:dyDescent="0.25">
      <c r="B17" s="20" t="s">
        <v>31</v>
      </c>
      <c r="C17" s="21">
        <f>ROUND(AVERAGE(C3:C16),0)</f>
        <v>277170</v>
      </c>
      <c r="D17" s="21">
        <f t="shared" ref="D17" si="0">ROUND(AVERAGE(D3:D16),0)</f>
        <v>462208</v>
      </c>
      <c r="E17" s="21">
        <f>ROUND(AVERAGE(E3:E16),3)</f>
        <v>0.71199999999999997</v>
      </c>
      <c r="F17" s="21">
        <f>ROUND(AVERAGE(F3:F16),2)</f>
        <v>42.98</v>
      </c>
      <c r="G17" s="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</dc:creator>
  <cp:lastModifiedBy>Mario Martín</cp:lastModifiedBy>
  <dcterms:created xsi:type="dcterms:W3CDTF">2026-04-20T14:28:55Z</dcterms:created>
  <dcterms:modified xsi:type="dcterms:W3CDTF">2026-05-11T13:53:48Z</dcterms:modified>
</cp:coreProperties>
</file>